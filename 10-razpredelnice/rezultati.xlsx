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abe\RP\10-razpredelnice\"/>
    </mc:Choice>
  </mc:AlternateContent>
  <xr:revisionPtr revIDLastSave="0" documentId="13_ncr:1_{42F373EC-7E2A-4E3E-B829-520BC147E1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zultati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5" i="1"/>
  <c r="I3" i="1"/>
  <c r="I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<sst xmlns="http://schemas.openxmlformats.org/spreadsheetml/2006/main" count="105" uniqueCount="72">
  <si>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</si>
  <si>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</si>
  <si>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</si>
  <si>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</si>
  <si>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</si>
  <si>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</si>
  <si>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</si>
  <si>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</si>
  <si>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</si>
  <si>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</si>
  <si>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</si>
  <si>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</si>
  <si>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</si>
  <si>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</si>
  <si>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</si>
  <si>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</si>
  <si>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</si>
  <si>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</si>
  <si>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</si>
  <si>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</si>
  <si>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</si>
  <si>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</si>
  <si>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</si>
  <si>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</si>
  <si>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</si>
  <si>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</si>
  <si>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</si>
  <si>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</si>
  <si>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</si>
  <si>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</si>
  <si>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</si>
  <si>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</si>
  <si>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</si>
  <si>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</si>
  <si>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</si>
  <si>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</si>
  <si>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</si>
  <si>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</si>
  <si>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</si>
  <si>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</si>
  <si>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</si>
  <si>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</si>
  <si>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</si>
  <si>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</si>
  <si>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</si>
  <si>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</si>
  <si>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</si>
  <si>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</si>
  <si>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</si>
  <si>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</si>
  <si>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</si>
  <si>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</si>
  <si>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</si>
  <si>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</si>
  <si>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</si>
  <si>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</si>
  <si>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</si>
  <si>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</si>
  <si>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</si>
  <si>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</si>
  <si>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</si>
  <si>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</si>
  <si>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</si>
  <si>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</si>
  <si>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</si>
  <si>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</si>
  <si>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Oznake vrstic</t>
  </si>
  <si>
    <t>Skupna vsota</t>
  </si>
  <si>
    <t>Min</t>
  </si>
  <si>
    <t>Max</t>
  </si>
  <si>
    <t>Povprečje</t>
  </si>
  <si>
    <t>Štetje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</si>
</sst>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25">
    <dxf>
      <font>
        <color rgb="FFC00000"/>
      </font>
    </dxf>
    <dxf>
      <font>
        <color rgb="FFC00000"/>
      </font>
    </dxf>
    <dxf>
      <font>
        <color rgb="FFFF0000"/>
      </font>
    </dxf>
    <dxf>
      <numFmt numFmtId="168" formatCode="0.000"/>
    </dxf>
    <dxf>
      <numFmt numFmtId="2" formatCode="0.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4" formatCode="0.000000"/>
    </dxf>
    <dxf>
      <numFmt numFmtId="164" formatCode="0.000000"/>
    </dxf>
    <dxf>
      <numFmt numFmtId="173" formatCode="0.0000000"/>
    </dxf>
    <dxf>
      <numFmt numFmtId="173" formatCode="0.0000000"/>
    </dxf>
    <dxf>
      <numFmt numFmtId="172" formatCode="0.00000000"/>
    </dxf>
    <dxf>
      <numFmt numFmtId="172" formatCode="0.00000000"/>
    </dxf>
    <dxf>
      <numFmt numFmtId="170" formatCode="0.000000000"/>
    </dxf>
    <dxf>
      <numFmt numFmtId="170" formatCode="0.000000000"/>
    </dxf>
    <dxf>
      <numFmt numFmtId="171" formatCode="0.0000000000"/>
    </dxf>
    <dxf>
      <numFmt numFmtId="171" formatCode="0.0000000000"/>
    </dxf>
    <dxf>
      <numFmt numFmtId="170" formatCode="0.000000000"/>
    </dxf>
    <dxf>
      <numFmt numFmtId="170" formatCode="0.0000000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29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8D5-4664-939F-3FF3E2AE3C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5-4664-939F-3FF3E2AE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</a:t>
            </a:r>
            <a:r>
              <a:rPr lang="sl-SI" baseline="0"/>
              <a:t> točk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7-4B19-A41B-FF2C0288971F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47-4B19-A41B-FF2C02889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7643984"/>
        <c:axId val="437644464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'Rezultati'!$I$2</c15:sqref>
                        </c15:formulaRef>
                      </c:ext>
                    </c:extLst>
                    <c:strCache>
                      <c:ptCount val="1"/>
                      <c:pt idx="0">
                        <c:v>Udeležba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'Rezultati'!$H$3:$H$5</c15:sqref>
                        </c15:formulaRef>
                      </c:ext>
                    </c:extLst>
                    <c:strCache>
                      <c:ptCount val="3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'Rezultati'!$I$3:$I$5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</c:v>
                      </c:pt>
                      <c:pt idx="1">
                        <c:v>12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E47-4B19-A41B-FF2C0288971F}"/>
                  </c:ext>
                </c:extLst>
              </c15:ser>
            </c15:filteredBarSeries>
          </c:ext>
        </c:extLst>
      </c:bar3DChart>
      <c:catAx>
        <c:axId val="437643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37644464"/>
        <c:crosses val="autoZero"/>
        <c:auto val="1"/>
        <c:lblAlgn val="ctr"/>
        <c:lblOffset val="100"/>
        <c:noMultiLvlLbl val="0"/>
      </c:catAx>
      <c:valAx>
        <c:axId val="4376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4376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13</xdr:row>
      <xdr:rowOff>19050</xdr:rowOff>
    </xdr:from>
    <xdr:to>
      <xdr:col>11</xdr:col>
      <xdr:colOff>561975</xdr:colOff>
      <xdr:row>28</xdr:row>
      <xdr:rowOff>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F306808F-B35D-5FB7-45D3-493489325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</xdr:colOff>
      <xdr:row>29</xdr:row>
      <xdr:rowOff>0</xdr:rowOff>
    </xdr:from>
    <xdr:to>
      <xdr:col>11</xdr:col>
      <xdr:colOff>561975</xdr:colOff>
      <xdr:row>43</xdr:row>
      <xdr:rowOff>165100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C19D41F0-3F83-8B67-2D1E-42FA06DD5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abela rosc" refreshedDate="45999.627137847223" createdVersion="8" refreshedVersion="8" minRefreshableVersion="3" recordCount="28" xr:uid="{713E072F-0A65-4E37-A899-C46FEB235DF8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E83E3-F85F-4CF3-B173-38E3C7F5CFDC}" name="Vrtilna tabela1" cacheId="3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H7:L11" firstHeaderRow="0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Štetje" fld="3" subtotal="count" baseField="2" baseItem="0"/>
    <dataField name="Povprečje" fld="3" subtotal="average" baseField="2" baseItem="0" numFmtId="2"/>
    <dataField name="Min" fld="3" subtotal="min" baseField="2" baseItem="0"/>
    <dataField name="Max" fld="3" subtotal="max" baseField="2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24">
      <calculatedColumnFormula>IF(Rezultati[[#This Row],[Točke]]&gt;50,"da","ne")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23">
      <calculatedColumnFormula>COUNTIF(Rezultati[Skupina],Skupine[[#This Row],[Test]])</calculatedColumnFormula>
    </tableColumn>
    <tableColumn id="3" xr3:uid="{49F9352C-9597-4E44-8122-AF1CE6CE856F}" name="2022" dataDxfId="22">
      <calculatedColumnFormula>AVERAGEIF(D2:D30,H3,E2:E29)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E4" activeCellId="1" sqref="B3:C30 E3:E30"/>
    </sheetView>
  </sheetViews>
  <sheetFormatPr defaultColWidth="8.81640625" defaultRowHeight="14.5" x14ac:dyDescent="0.35"/>
  <cols>
    <col min="1" max="1" width="4.453125" customWidth="1"/>
    <col min="2" max="2" width="10" bestFit="1" customWidth="1"/>
    <col min="3" max="3" width="9.36328125" bestFit="1" customWidth="1"/>
    <col min="4" max="4" width="9.6328125" bestFit="1" customWidth="1"/>
    <col min="5" max="5" width="8.1796875" bestFit="1" customWidth="1"/>
    <col min="6" max="6" width="9.1796875" bestFit="1" customWidth="1"/>
    <col min="7" max="7" width="9.1796875" customWidth="1"/>
    <col min="8" max="8" width="14.26953125" bestFit="1" customWidth="1"/>
    <col min="9" max="9" width="13.81640625" bestFit="1" customWidth="1"/>
    <col min="10" max="10" width="17.26953125" bestFit="1" customWidth="1"/>
    <col min="11" max="11" width="12.08984375" bestFit="1" customWidth="1"/>
    <col min="12" max="12" width="14.453125" bestFit="1" customWidth="1"/>
  </cols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3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Row],[Točke]]&gt;50,"da","ne")</f>
        <v>ne</v>
      </c>
      <c r="H3" t="s">
        <v>9</v>
      </c>
      <c r="I3">
        <f>COUNTIF(Rezultati[Skupina],Skupine[[#This Row],[Test]])</f>
        <v>9</v>
      </c>
      <c r="J3" s="1">
        <f t="shared" ref="J3:J5" ca="1" si="0">AVERAGEIF(D2:D30,H3,E2:E29)</f>
        <v>58.222222222222221</v>
      </c>
      <c r="K3">
        <v>66.84</v>
      </c>
    </row>
    <row r="4" spans="2:12" x14ac:dyDescent="0.35">
      <c r="B4" t="s">
        <v>34</v>
      </c>
      <c r="C4" t="s">
        <v>35</v>
      </c>
      <c r="D4" t="s">
        <v>12</v>
      </c>
      <c r="E4">
        <v>39</v>
      </c>
      <c r="F4" t="str">
        <f>IF(Rezultati[[#This Row],[Točke]]&gt;50,"da","ne")</f>
        <v>ne</v>
      </c>
      <c r="H4" t="s">
        <v>12</v>
      </c>
      <c r="I4">
        <f>COUNTIF(Rezultati[Skupina],Skupine[[#This Row],[Test]])</f>
        <v>12</v>
      </c>
      <c r="J4" s="1">
        <f t="shared" ca="1" si="0"/>
        <v>66.5</v>
      </c>
      <c r="K4">
        <v>52.35</v>
      </c>
    </row>
    <row r="5" spans="2:12" x14ac:dyDescent="0.35">
      <c r="B5" t="s">
        <v>7</v>
      </c>
      <c r="C5" t="s">
        <v>36</v>
      </c>
      <c r="D5" t="s">
        <v>12</v>
      </c>
      <c r="E5">
        <v>36</v>
      </c>
      <c r="F5" t="str">
        <f>IF(Rezultati[[#This Row],[Točke]]&gt;50,"da","ne")</f>
        <v>ne</v>
      </c>
      <c r="H5" t="s">
        <v>15</v>
      </c>
      <c r="I5">
        <f>COUNTIF(Rezultati[Skupina],Skupine[[#This Row],[Test]])</f>
        <v>7</v>
      </c>
      <c r="J5" s="1">
        <f t="shared" ca="1" si="0"/>
        <v>47.714285714285715</v>
      </c>
      <c r="K5">
        <v>49.66</v>
      </c>
    </row>
    <row r="6" spans="2:12" x14ac:dyDescent="0.35">
      <c r="B6" t="s">
        <v>7</v>
      </c>
      <c r="C6" t="s">
        <v>8</v>
      </c>
      <c r="D6" t="s">
        <v>9</v>
      </c>
      <c r="E6">
        <v>93</v>
      </c>
      <c r="F6" t="str">
        <f>IF(Rezultati[[#This Row],[Točke]]&gt;50,"da","ne")</f>
        <v>da</v>
      </c>
    </row>
    <row r="7" spans="2:12" x14ac:dyDescent="0.35">
      <c r="B7" t="s">
        <v>37</v>
      </c>
      <c r="C7" t="s">
        <v>38</v>
      </c>
      <c r="D7" t="s">
        <v>9</v>
      </c>
      <c r="E7">
        <v>77</v>
      </c>
      <c r="F7" t="str">
        <f>IF(Rezultati[[#This Row],[Točke]]&gt;50,"da","ne")</f>
        <v>da</v>
      </c>
      <c r="H7" s="2" t="s">
        <v>66</v>
      </c>
      <c r="I7" t="s">
        <v>71</v>
      </c>
      <c r="J7" t="s">
        <v>70</v>
      </c>
      <c r="K7" t="s">
        <v>68</v>
      </c>
      <c r="L7" t="s">
        <v>69</v>
      </c>
    </row>
    <row r="8" spans="2:12" x14ac:dyDescent="0.35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Row],[Točke]]&gt;50,"da","ne")</f>
        <v>da</v>
      </c>
      <c r="H8" s="3" t="s">
        <v>9</v>
      </c>
      <c r="I8" s="4">
        <v>9</v>
      </c>
      <c r="J8" s="1">
        <v>58.222222222222221</v>
      </c>
      <c r="K8" s="4">
        <v>34</v>
      </c>
      <c r="L8" s="4">
        <v>94</v>
      </c>
    </row>
    <row r="9" spans="2:12" x14ac:dyDescent="0.35">
      <c r="B9" t="s">
        <v>10</v>
      </c>
      <c r="C9" t="s">
        <v>11</v>
      </c>
      <c r="D9" t="s">
        <v>9</v>
      </c>
      <c r="E9">
        <v>94</v>
      </c>
      <c r="F9" t="str">
        <f>IF(Rezultati[[#This Row],[Točke]]&gt;50,"da","ne")</f>
        <v>da</v>
      </c>
      <c r="H9" s="3" t="s">
        <v>12</v>
      </c>
      <c r="I9" s="4">
        <v>12</v>
      </c>
      <c r="J9" s="1">
        <v>66.5</v>
      </c>
      <c r="K9" s="4">
        <v>36</v>
      </c>
      <c r="L9" s="4">
        <v>100</v>
      </c>
    </row>
    <row r="10" spans="2:12" x14ac:dyDescent="0.35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Row],[Točke]]&gt;50,"da","ne")</f>
        <v>ne</v>
      </c>
      <c r="H10" s="3" t="s">
        <v>15</v>
      </c>
      <c r="I10" s="4">
        <v>7</v>
      </c>
      <c r="J10" s="1">
        <v>47.714285714285715</v>
      </c>
      <c r="K10" s="4">
        <v>26</v>
      </c>
      <c r="L10" s="4">
        <v>76</v>
      </c>
    </row>
    <row r="11" spans="2:12" x14ac:dyDescent="0.35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Row],[Točke]]&gt;50,"da","ne")</f>
        <v>ne</v>
      </c>
      <c r="H11" s="3" t="s">
        <v>67</v>
      </c>
      <c r="I11" s="4">
        <v>28</v>
      </c>
      <c r="J11" s="1">
        <v>59.142857142857146</v>
      </c>
      <c r="K11" s="4">
        <v>26</v>
      </c>
      <c r="L11" s="4">
        <v>100</v>
      </c>
    </row>
    <row r="12" spans="2:12" x14ac:dyDescent="0.35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Row],[Točke]]&gt;50,"da","ne")</f>
        <v>ne</v>
      </c>
    </row>
    <row r="13" spans="2:12" x14ac:dyDescent="0.3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Row],[Točke]]&gt;50,"da","ne")</f>
        <v>da</v>
      </c>
    </row>
    <row r="14" spans="2:12" x14ac:dyDescent="0.3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Row],[Točke]]&gt;50,"da","ne")</f>
        <v>da</v>
      </c>
    </row>
    <row r="15" spans="2:12" x14ac:dyDescent="0.3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Row],[Točke]]&gt;50,"da","ne")</f>
        <v>da</v>
      </c>
    </row>
    <row r="16" spans="2:12" x14ac:dyDescent="0.35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Row],[Točke]]&gt;50,"da","ne")</f>
        <v>ne</v>
      </c>
    </row>
    <row r="17" spans="2:6" x14ac:dyDescent="0.35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Row],[Točke]]&gt;50,"da","ne")</f>
        <v>ne</v>
      </c>
    </row>
    <row r="18" spans="2:6" x14ac:dyDescent="0.3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Row],[Točke]]&gt;50,"da","ne")</f>
        <v>da</v>
      </c>
    </row>
    <row r="19" spans="2:6" x14ac:dyDescent="0.35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Row],[Točke]]&gt;50,"da","ne")</f>
        <v>ne</v>
      </c>
    </row>
    <row r="20" spans="2:6" x14ac:dyDescent="0.3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Row],[Točke]]&gt;50,"da","ne")</f>
        <v>da</v>
      </c>
    </row>
    <row r="21" spans="2:6" x14ac:dyDescent="0.35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Row],[Točke]]&gt;50,"da","ne")</f>
        <v>ne</v>
      </c>
    </row>
    <row r="22" spans="2:6" x14ac:dyDescent="0.35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Row],[Točke]]&gt;50,"da","ne")</f>
        <v>ne</v>
      </c>
    </row>
    <row r="23" spans="2:6" x14ac:dyDescent="0.3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Row],[Točke]]&gt;50,"da","ne")</f>
        <v>da</v>
      </c>
    </row>
    <row r="24" spans="2:6" x14ac:dyDescent="0.3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Row],[Točke]]&gt;50,"da","ne")</f>
        <v>da</v>
      </c>
    </row>
    <row r="25" spans="2:6" x14ac:dyDescent="0.35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Row],[Točke]]&gt;50,"da","ne")</f>
        <v>ne</v>
      </c>
    </row>
    <row r="26" spans="2:6" x14ac:dyDescent="0.3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Row],[Točke]]&gt;50,"da","ne")</f>
        <v>da</v>
      </c>
    </row>
    <row r="27" spans="2:6" x14ac:dyDescent="0.3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Row],[Točke]]&gt;50,"da","ne")</f>
        <v>da</v>
      </c>
    </row>
    <row r="28" spans="2:6" x14ac:dyDescent="0.3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Row],[Točke]]&gt;50,"da","ne")</f>
        <v>da</v>
      </c>
    </row>
    <row r="29" spans="2:6" x14ac:dyDescent="0.3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Row],[Točke]]&gt;50,"da","ne")</f>
        <v>da</v>
      </c>
    </row>
    <row r="30" spans="2:6" x14ac:dyDescent="0.35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Row],[Točke]]&gt;50,"da","ne")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Rosc, Izabela</cp:lastModifiedBy>
  <dcterms:created xsi:type="dcterms:W3CDTF">2007-11-10T02:36:44Z</dcterms:created>
  <dcterms:modified xsi:type="dcterms:W3CDTF">2025-12-08T14:27:18Z</dcterms:modified>
</cp:coreProperties>
</file>