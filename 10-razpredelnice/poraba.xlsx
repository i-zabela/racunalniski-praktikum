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abe\RP\10-razpredelnice\"/>
    </mc:Choice>
  </mc:AlternateContent>
  <xr:revisionPtr revIDLastSave="0" documentId="13_ncr:1_{9EB32B56-051C-403D-9EB8-4C4D857B8B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2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4" i="4"/>
  <c r="D3" i="4"/>
  <c r="F21" i="4"/>
  <c r="G21" i="4" s="1"/>
  <c r="H21" i="4" s="1"/>
  <c r="F20" i="4"/>
  <c r="G20" i="4" s="1"/>
  <c r="H20" i="4" s="1"/>
  <c r="F19" i="4"/>
  <c r="G19" i="4" s="1"/>
  <c r="H19" i="4" s="1"/>
  <c r="F18" i="4"/>
  <c r="G18" i="4" s="1"/>
  <c r="H18" i="4" s="1"/>
  <c r="F17" i="4"/>
  <c r="G17" i="4" s="1"/>
  <c r="H17" i="4" s="1"/>
  <c r="F16" i="4"/>
  <c r="G16" i="4" s="1"/>
  <c r="H16" i="4" s="1"/>
  <c r="F15" i="4"/>
  <c r="G15" i="4" s="1"/>
  <c r="H15" i="4" s="1"/>
  <c r="F14" i="4"/>
  <c r="G14" i="4" s="1"/>
  <c r="H14" i="4" s="1"/>
  <c r="F13" i="4"/>
  <c r="G13" i="4" s="1"/>
  <c r="H13" i="4" s="1"/>
  <c r="F12" i="4"/>
  <c r="G12" i="4" s="1"/>
  <c r="H12" i="4" s="1"/>
  <c r="F11" i="4"/>
  <c r="G11" i="4" s="1"/>
  <c r="H11" i="4" s="1"/>
  <c r="F10" i="4"/>
  <c r="G10" i="4" s="1"/>
  <c r="H10" i="4" s="1"/>
  <c r="F9" i="4"/>
  <c r="G9" i="4" s="1"/>
  <c r="H9" i="4" s="1"/>
  <c r="F8" i="4"/>
  <c r="G8" i="4" s="1"/>
  <c r="H8" i="4" s="1"/>
  <c r="F7" i="4"/>
  <c r="G7" i="4" s="1"/>
  <c r="H7" i="4" s="1"/>
  <c r="F6" i="4"/>
  <c r="G6" i="4" s="1"/>
  <c r="H6" i="4" s="1"/>
  <c r="F5" i="4"/>
  <c r="G5" i="4" s="1"/>
  <c r="H5" i="4" s="1"/>
  <c r="F4" i="4"/>
  <c r="G4" i="4" s="1"/>
  <c r="H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<sst xmlns="http://schemas.openxmlformats.org/spreadsheetml/2006/main" count="21" uniqueCount="21">
  <si>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</si>
  <si>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</si>
  <si>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</si>
  <si>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</si>
  <si>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</si>
  <si>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</si>
  <si>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</si>
  <si>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</si>
  <si>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</si>
  <si>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</si>
  <si>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Skupna vsota</t>
  </si>
  <si>
    <t>maj</t>
  </si>
  <si>
    <t>jun</t>
  </si>
  <si>
    <t>jul</t>
  </si>
  <si>
    <t>avg</t>
  </si>
  <si>
    <t>sep</t>
  </si>
  <si>
    <t>okt</t>
  </si>
  <si>
    <t>Vsota od Prevoženo</t>
  </si>
  <si>
    <t>Oznake stolpcev</t>
  </si>
  <si>
    <t>Povprečje od Poraba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</si>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</sst>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avadno" xfId="0" builtinId="0"/>
  </cellStyles>
  <dxfs count="12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abela rosc" refreshedDate="45999.690847569444" createdVersion="8" refreshedVersion="8" minRefreshableVersion="3" recordCount="19" xr:uid="{8468396E-37B2-4527-A394-74D56FDD2380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0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String="0" containsBlank="1" containsNumber="1" containsInteger="1" minValue="446" maxValue="683"/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0">
      <sharedItems containsMixedTypes="1" containsNumber="1" minValue="6.3103953147877023" maxValue="8.1008968609865484"/>
    </cacheField>
    <cacheField name="Dnevi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eseci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m/>
    <x v="0"/>
    <s v=""/>
  </r>
  <r>
    <x v="1"/>
    <n v="43.02"/>
    <n v="59.797800000000002"/>
    <n v="42521"/>
    <n v="614"/>
    <x v="1"/>
    <n v="7.006514657980456"/>
  </r>
  <r>
    <x v="2"/>
    <n v="41.67"/>
    <n v="57.921299999999995"/>
    <n v="43181"/>
    <n v="660"/>
    <x v="2"/>
    <n v="6.3136363636363644"/>
  </r>
  <r>
    <x v="3"/>
    <n v="34.04"/>
    <n v="47.043279999999996"/>
    <n v="43696"/>
    <n v="515"/>
    <x v="3"/>
    <n v="6.6097087378640769"/>
  </r>
  <r>
    <x v="4"/>
    <n v="42.42"/>
    <n v="59.897039999999997"/>
    <n v="44314"/>
    <n v="618"/>
    <x v="4"/>
    <n v="6.8640776699029127"/>
  </r>
  <r>
    <x v="5"/>
    <n v="43.1"/>
    <n v="60.857199999999999"/>
    <n v="44997"/>
    <n v="683"/>
    <x v="5"/>
    <n v="6.3103953147877023"/>
  </r>
  <r>
    <x v="6"/>
    <n v="38.18"/>
    <n v="54.368319999999997"/>
    <n v="45546"/>
    <n v="549"/>
    <x v="6"/>
    <n v="6.9544626593806917"/>
  </r>
  <r>
    <x v="7"/>
    <n v="40.659999999999997"/>
    <n v="58.713039999999992"/>
    <n v="46126"/>
    <n v="580"/>
    <x v="7"/>
    <n v="7.0103448275862066"/>
  </r>
  <r>
    <x v="8"/>
    <n v="39.17"/>
    <n v="56.561480000000003"/>
    <n v="46687"/>
    <n v="561"/>
    <x v="8"/>
    <n v="6.9821746880570412"/>
  </r>
  <r>
    <x v="9"/>
    <n v="40.29"/>
    <n v="58.662239999999997"/>
    <n v="47250"/>
    <n v="563"/>
    <x v="9"/>
    <n v="7.1563055062166967"/>
  </r>
  <r>
    <x v="10"/>
    <n v="41.01"/>
    <n v="59.710559999999994"/>
    <n v="47867"/>
    <n v="617"/>
    <x v="10"/>
    <n v="6.6466774716369521"/>
  </r>
  <r>
    <x v="11"/>
    <n v="37.18"/>
    <n v="56.178979999999996"/>
    <n v="48407"/>
    <n v="540"/>
    <x v="11"/>
    <n v="6.8851851851851844"/>
  </r>
  <r>
    <x v="12"/>
    <n v="41.46"/>
    <n v="62.646059999999999"/>
    <n v="49005"/>
    <n v="598"/>
    <x v="12"/>
    <n v="6.9331103678929766"/>
  </r>
  <r>
    <x v="13"/>
    <n v="35.97"/>
    <n v="55.537680000000002"/>
    <n v="49480"/>
    <n v="475"/>
    <x v="13"/>
    <n v="7.5726315789473686"/>
  </r>
  <r>
    <x v="14"/>
    <n v="38.74"/>
    <n v="60.085740000000001"/>
    <n v="50012"/>
    <n v="532"/>
    <x v="14"/>
    <n v="7.2819548872180455"/>
  </r>
  <r>
    <x v="15"/>
    <n v="36.130000000000003"/>
    <n v="56.03763"/>
    <n v="50458"/>
    <n v="446"/>
    <x v="15"/>
    <n v="8.1008968609865484"/>
  </r>
  <r>
    <x v="16"/>
    <n v="38.51"/>
    <n v="61.153880000000001"/>
    <n v="50991"/>
    <n v="533"/>
    <x v="16"/>
    <n v="7.2251407129455911"/>
  </r>
  <r>
    <x v="17"/>
    <n v="38.840000000000003"/>
    <n v="61.677920000000007"/>
    <n v="51593"/>
    <n v="602"/>
    <x v="17"/>
    <n v="6.4518272425249172"/>
  </r>
  <r>
    <x v="18"/>
    <n v="41.73"/>
    <n v="64.097279999999998"/>
    <n v="52176"/>
    <n v="583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F957A-43C0-4E78-86F2-32220CB4EA6C}" name="Vrtilna tabela6" cacheId="20" dataOnRows="1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B28:I31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showAll="0"/>
    <pivotField numFmtId="3" showAll="0"/>
    <pivotField dataField="1" showAll="0"/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Vsota od Prevoženo" fld="4" baseField="8" baseItem="5"/>
    <dataField name="Povprečje od Poraba" fld="5" subtotal="average" baseField="8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1"/>
  <sheetViews>
    <sheetView tabSelected="1" topLeftCell="B23" zoomScale="120" zoomScaleNormal="120" workbookViewId="0">
      <selection activeCell="B28" sqref="B28"/>
    </sheetView>
  </sheetViews>
  <sheetFormatPr defaultColWidth="10.90625" defaultRowHeight="14.5" x14ac:dyDescent="0.35"/>
  <cols>
    <col min="1" max="1" width="3.81640625" customWidth="1"/>
    <col min="2" max="2" width="18.08984375" bestFit="1" customWidth="1"/>
    <col min="3" max="3" width="16.81640625" bestFit="1" customWidth="1"/>
    <col min="4" max="6" width="11.81640625" bestFit="1" customWidth="1"/>
    <col min="7" max="7" width="10.81640625" bestFit="1" customWidth="1"/>
    <col min="8" max="8" width="11.81640625" bestFit="1" customWidth="1"/>
    <col min="9" max="9" width="12" bestFit="1" customWidth="1"/>
    <col min="10" max="13" width="18.36328125" bestFit="1" customWidth="1"/>
    <col min="14" max="14" width="23.08984375" bestFit="1" customWidth="1"/>
    <col min="15" max="15" width="23.7265625" bestFit="1" customWidth="1"/>
  </cols>
  <sheetData>
    <row r="2" spans="2:11" x14ac:dyDescent="0.3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5">
      <c r="B3" s="1">
        <v>45051</v>
      </c>
      <c r="C3" s="3">
        <v>41.17</v>
      </c>
      <c r="D3">
        <f>_xlfn.XLOOKUP(realna_poraba_cupra__2[[#This Row],[Datum]],Table3[Veljavnost],Table3[Bencin],0,-1)*realna_poraba_cupra__2[[#This Row],[Litri]]</f>
        <v>58.296720000000001</v>
      </c>
      <c r="E3" s="2">
        <v>41907</v>
      </c>
      <c r="G3" t="s">
        <v>4</v>
      </c>
      <c r="H3" t="str">
        <f>realna_poraba_cupra__2[[#This Row],[Poraba]]</f>
        <v/>
      </c>
      <c r="J3" s="1">
        <v>44930</v>
      </c>
      <c r="K3" s="4">
        <v>1.276</v>
      </c>
    </row>
    <row r="4" spans="2:11" x14ac:dyDescent="0.35">
      <c r="B4" s="1">
        <v>45059</v>
      </c>
      <c r="C4" s="3">
        <v>43.02</v>
      </c>
      <c r="D4">
        <f>_xlfn.XLOOKUP(realna_poraba_cupra__2[[#This Row],[Datum]],Table3[Veljavnost],Table3[Bencin],0,-1)*realna_poraba_cupra__2[[#This Row],[Litri]]</f>
        <v>59.797800000000002</v>
      </c>
      <c r="E4" s="2">
        <v>42521</v>
      </c>
      <c r="F4" s="2">
        <f>E4-E3</f>
        <v>614</v>
      </c>
      <c r="G4">
        <f>100*(realna_poraba_cupra__2[[#This Row],[Litri]]/realna_poraba_cupra__2[[#This Row],[Prevoženo]])</f>
        <v>7.006514657980456</v>
      </c>
      <c r="H4">
        <f>realna_poraba_cupra__2[[#This Row],[Poraba]]</f>
        <v>7.006514657980456</v>
      </c>
      <c r="J4" s="1">
        <v>44943</v>
      </c>
      <c r="K4" s="4">
        <v>1.288</v>
      </c>
    </row>
    <row r="5" spans="2:11" x14ac:dyDescent="0.35">
      <c r="B5" s="1">
        <v>45068</v>
      </c>
      <c r="C5" s="3">
        <v>41.67</v>
      </c>
      <c r="D5">
        <f>_xlfn.XLOOKUP(realna_poraba_cupra__2[[#This Row],[Datum]],Table3[Veljavnost],Table3[Bencin],0,-1)*realna_poraba_cupra__2[[#This Row],[Litri]]</f>
        <v>57.921299999999995</v>
      </c>
      <c r="E5" s="2">
        <v>43181</v>
      </c>
      <c r="F5" s="2">
        <f t="shared" ref="F5:F21" si="0">E5-E4</f>
        <v>660</v>
      </c>
      <c r="G5">
        <f>100*(realna_poraba_cupra__2[[#This Row],[Litri]]/realna_poraba_cupra__2[[#This Row],[Prevoženo]])</f>
        <v>6.3136363636363644</v>
      </c>
      <c r="H5">
        <f>realna_poraba_cupra__2[[#This Row],[Poraba]]</f>
        <v>6.3136363636363644</v>
      </c>
      <c r="J5" s="1">
        <v>44957</v>
      </c>
      <c r="K5" s="4">
        <v>1.355</v>
      </c>
    </row>
    <row r="6" spans="2:11" x14ac:dyDescent="0.35">
      <c r="B6" s="1">
        <v>45073</v>
      </c>
      <c r="C6" s="3">
        <v>34.04</v>
      </c>
      <c r="D6">
        <f>_xlfn.XLOOKUP(realna_poraba_cupra__2[[#This Row],[Datum]],Table3[Veljavnost],Table3[Bencin],0,-1)*realna_poraba_cupra__2[[#This Row],[Litri]]</f>
        <v>47.043279999999996</v>
      </c>
      <c r="E6" s="2">
        <v>43696</v>
      </c>
      <c r="F6" s="2">
        <f t="shared" si="0"/>
        <v>515</v>
      </c>
      <c r="G6">
        <f>100*(realna_poraba_cupra__2[[#This Row],[Litri]]/realna_poraba_cupra__2[[#This Row],[Prevoženo]])</f>
        <v>6.6097087378640769</v>
      </c>
      <c r="H6">
        <f>realna_poraba_cupra__2[[#This Row],[Poraba]]</f>
        <v>6.6097087378640769</v>
      </c>
      <c r="J6" s="1">
        <v>44971</v>
      </c>
      <c r="K6" s="4">
        <v>1.355</v>
      </c>
    </row>
    <row r="7" spans="2:11" x14ac:dyDescent="0.35">
      <c r="B7" s="1">
        <v>45085</v>
      </c>
      <c r="C7" s="3">
        <v>42.42</v>
      </c>
      <c r="D7">
        <f>_xlfn.XLOOKUP(realna_poraba_cupra__2[[#This Row],[Datum]],Table3[Veljavnost],Table3[Bencin],0,-1)*realna_poraba_cupra__2[[#This Row],[Litri]]</f>
        <v>59.897039999999997</v>
      </c>
      <c r="E7" s="2">
        <v>44314</v>
      </c>
      <c r="F7" s="2">
        <f t="shared" si="0"/>
        <v>618</v>
      </c>
      <c r="G7">
        <f>100*(realna_poraba_cupra__2[[#This Row],[Litri]]/realna_poraba_cupra__2[[#This Row],[Prevoženo]])</f>
        <v>6.8640776699029127</v>
      </c>
      <c r="H7">
        <f>realna_poraba_cupra__2[[#This Row],[Poraba]]</f>
        <v>6.8640776699029127</v>
      </c>
      <c r="J7" s="1">
        <v>44985</v>
      </c>
      <c r="K7" s="4">
        <v>1.359</v>
      </c>
    </row>
    <row r="8" spans="2:11" x14ac:dyDescent="0.35">
      <c r="B8" s="1">
        <v>45093</v>
      </c>
      <c r="C8" s="3">
        <v>43.1</v>
      </c>
      <c r="D8">
        <f>_xlfn.XLOOKUP(realna_poraba_cupra__2[[#This Row],[Datum]],Table3[Veljavnost],Table3[Bencin],0,-1)*realna_poraba_cupra__2[[#This Row],[Litri]]</f>
        <v>60.857199999999999</v>
      </c>
      <c r="E8" s="2">
        <v>44997</v>
      </c>
      <c r="F8" s="2">
        <f t="shared" si="0"/>
        <v>683</v>
      </c>
      <c r="G8">
        <f>100*(realna_poraba_cupra__2[[#This Row],[Litri]]/realna_poraba_cupra__2[[#This Row],[Prevoženo]])</f>
        <v>6.3103953147877023</v>
      </c>
      <c r="H8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35">
      <c r="B9" s="1">
        <v>45099</v>
      </c>
      <c r="C9" s="3">
        <v>38.18</v>
      </c>
      <c r="D9">
        <f>_xlfn.XLOOKUP(realna_poraba_cupra__2[[#This Row],[Datum]],Table3[Veljavnost],Table3[Bencin],0,-1)*realna_poraba_cupra__2[[#This Row],[Litri]]</f>
        <v>54.368319999999997</v>
      </c>
      <c r="E9" s="2">
        <v>45546</v>
      </c>
      <c r="F9" s="2">
        <f t="shared" si="0"/>
        <v>549</v>
      </c>
      <c r="G9">
        <f>100*(realna_poraba_cupra__2[[#This Row],[Litri]]/realna_poraba_cupra__2[[#This Row],[Prevoženo]])</f>
        <v>6.9544626593806917</v>
      </c>
      <c r="H9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35">
      <c r="B10" s="1">
        <v>45113</v>
      </c>
      <c r="C10" s="3">
        <v>40.659999999999997</v>
      </c>
      <c r="D10">
        <f>_xlfn.XLOOKUP(realna_poraba_cupra__2[[#This Row],[Datum]],Table3[Veljavnost],Table3[Bencin],0,-1)*realna_poraba_cupra__2[[#This Row],[Litri]]</f>
        <v>58.713039999999992</v>
      </c>
      <c r="E10" s="2">
        <v>46126</v>
      </c>
      <c r="F10" s="2">
        <f t="shared" si="0"/>
        <v>580</v>
      </c>
      <c r="G10">
        <f>100*(realna_poraba_cupra__2[[#This Row],[Litri]]/realna_poraba_cupra__2[[#This Row],[Prevoženo]])</f>
        <v>7.0103448275862066</v>
      </c>
      <c r="H10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35">
      <c r="B11" s="1">
        <v>45122</v>
      </c>
      <c r="C11" s="3">
        <v>39.17</v>
      </c>
      <c r="D11">
        <f>_xlfn.XLOOKUP(realna_poraba_cupra__2[[#This Row],[Datum]],Table3[Veljavnost],Table3[Bencin],0,-1)*realna_poraba_cupra__2[[#This Row],[Litri]]</f>
        <v>56.561480000000003</v>
      </c>
      <c r="E11" s="2">
        <v>46687</v>
      </c>
      <c r="F11" s="2">
        <f t="shared" si="0"/>
        <v>561</v>
      </c>
      <c r="G11">
        <f>100*(realna_poraba_cupra__2[[#This Row],[Litri]]/realna_poraba_cupra__2[[#This Row],[Prevoženo]])</f>
        <v>6.9821746880570412</v>
      </c>
      <c r="H11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35">
      <c r="B12" s="1">
        <v>45129</v>
      </c>
      <c r="C12" s="3">
        <v>40.29</v>
      </c>
      <c r="D12">
        <f>_xlfn.XLOOKUP(realna_poraba_cupra__2[[#This Row],[Datum]],Table3[Veljavnost],Table3[Bencin],0,-1)*realna_poraba_cupra__2[[#This Row],[Litri]]</f>
        <v>58.662239999999997</v>
      </c>
      <c r="E12" s="2">
        <v>47250</v>
      </c>
      <c r="F12" s="2">
        <f t="shared" si="0"/>
        <v>563</v>
      </c>
      <c r="G12">
        <f>100*(realna_poraba_cupra__2[[#This Row],[Litri]]/realna_poraba_cupra__2[[#This Row],[Prevoženo]])</f>
        <v>7.1563055062166967</v>
      </c>
      <c r="H12">
        <f>realna_poraba_cupra__2[[#This Row],[Poraba]]</f>
        <v>7.1563055062166967</v>
      </c>
      <c r="J12" s="1">
        <v>45055</v>
      </c>
      <c r="K12" s="4">
        <v>1.39</v>
      </c>
    </row>
    <row r="13" spans="2:11" x14ac:dyDescent="0.35">
      <c r="B13" s="1">
        <v>45138</v>
      </c>
      <c r="C13" s="3">
        <v>41.01</v>
      </c>
      <c r="D13">
        <f>_xlfn.XLOOKUP(realna_poraba_cupra__2[[#This Row],[Datum]],Table3[Veljavnost],Table3[Bencin],0,-1)*realna_poraba_cupra__2[[#This Row],[Litri]]</f>
        <v>59.710559999999994</v>
      </c>
      <c r="E13" s="2">
        <v>47867</v>
      </c>
      <c r="F13" s="2">
        <f t="shared" si="0"/>
        <v>617</v>
      </c>
      <c r="G13">
        <f>100*(realna_poraba_cupra__2[[#This Row],[Litri]]/realna_poraba_cupra__2[[#This Row],[Prevoženo]])</f>
        <v>6.6466774716369521</v>
      </c>
      <c r="H13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35">
      <c r="B14" s="1">
        <v>45151</v>
      </c>
      <c r="C14" s="3">
        <v>37.18</v>
      </c>
      <c r="D14">
        <f>_xlfn.XLOOKUP(realna_poraba_cupra__2[[#This Row],[Datum]],Table3[Veljavnost],Table3[Bencin],0,-1)*realna_poraba_cupra__2[[#This Row],[Litri]]</f>
        <v>56.178979999999996</v>
      </c>
      <c r="E14" s="2">
        <v>48407</v>
      </c>
      <c r="F14" s="2">
        <f t="shared" si="0"/>
        <v>540</v>
      </c>
      <c r="G14">
        <f>100*(realna_poraba_cupra__2[[#This Row],[Litri]]/realna_poraba_cupra__2[[#This Row],[Prevoženo]])</f>
        <v>6.8851851851851844</v>
      </c>
      <c r="H14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35">
      <c r="B15" s="1">
        <v>45163</v>
      </c>
      <c r="C15" s="3">
        <v>41.46</v>
      </c>
      <c r="D15">
        <f>_xlfn.XLOOKUP(realna_poraba_cupra__2[[#This Row],[Datum]],Table3[Veljavnost],Table3[Bencin],0,-1)*realna_poraba_cupra__2[[#This Row],[Litri]]</f>
        <v>62.646059999999999</v>
      </c>
      <c r="E15" s="2">
        <v>49005</v>
      </c>
      <c r="F15" s="2">
        <f t="shared" si="0"/>
        <v>598</v>
      </c>
      <c r="G15">
        <f>100*(realna_poraba_cupra__2[[#This Row],[Litri]]/realna_poraba_cupra__2[[#This Row],[Prevoženo]])</f>
        <v>6.9331103678929766</v>
      </c>
      <c r="H15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35">
      <c r="B16" s="1">
        <v>45175</v>
      </c>
      <c r="C16" s="3">
        <v>35.97</v>
      </c>
      <c r="D16">
        <f>_xlfn.XLOOKUP(realna_poraba_cupra__2[[#This Row],[Datum]],Table3[Veljavnost],Table3[Bencin],0,-1)*realna_poraba_cupra__2[[#This Row],[Litri]]</f>
        <v>55.537680000000002</v>
      </c>
      <c r="E16" s="2">
        <v>49480</v>
      </c>
      <c r="F16" s="2">
        <f t="shared" si="0"/>
        <v>475</v>
      </c>
      <c r="G16">
        <f>100*(realna_poraba_cupra__2[[#This Row],[Litri]]/realna_poraba_cupra__2[[#This Row],[Prevoženo]])</f>
        <v>7.5726315789473686</v>
      </c>
      <c r="H16">
        <f>realna_poraba_cupra__2[[#This Row],[Poraba]]</f>
        <v>7.5726315789473686</v>
      </c>
      <c r="J16" s="1">
        <v>45111</v>
      </c>
      <c r="K16" s="4">
        <v>1.444</v>
      </c>
    </row>
    <row r="17" spans="2:11" x14ac:dyDescent="0.35">
      <c r="B17" s="1">
        <v>45184</v>
      </c>
      <c r="C17" s="3">
        <v>38.74</v>
      </c>
      <c r="D17">
        <f>_xlfn.XLOOKUP(realna_poraba_cupra__2[[#This Row],[Datum]],Table3[Veljavnost],Table3[Bencin],0,-1)*realna_poraba_cupra__2[[#This Row],[Litri]]</f>
        <v>60.085740000000001</v>
      </c>
      <c r="E17" s="2">
        <v>50012</v>
      </c>
      <c r="F17" s="2">
        <f t="shared" si="0"/>
        <v>532</v>
      </c>
      <c r="G17">
        <f>100*(realna_poraba_cupra__2[[#This Row],[Litri]]/realna_poraba_cupra__2[[#This Row],[Prevoženo]])</f>
        <v>7.2819548872180455</v>
      </c>
      <c r="H17">
        <f>realna_poraba_cupra__2[[#This Row],[Poraba]]</f>
        <v>7.2819548872180455</v>
      </c>
      <c r="J17" s="1">
        <v>45125</v>
      </c>
      <c r="K17" s="4">
        <v>1.456</v>
      </c>
    </row>
    <row r="18" spans="2:11" x14ac:dyDescent="0.35">
      <c r="B18" s="1">
        <v>45191</v>
      </c>
      <c r="C18" s="3">
        <v>36.130000000000003</v>
      </c>
      <c r="D18">
        <f>_xlfn.XLOOKUP(realna_poraba_cupra__2[[#This Row],[Datum]],Table3[Veljavnost],Table3[Bencin],0,-1)*realna_poraba_cupra__2[[#This Row],[Litri]]</f>
        <v>56.03763</v>
      </c>
      <c r="E18" s="2">
        <v>50458</v>
      </c>
      <c r="F18" s="2">
        <f t="shared" si="0"/>
        <v>446</v>
      </c>
      <c r="G18">
        <f>100*(realna_poraba_cupra__2[[#This Row],[Litri]]/realna_poraba_cupra__2[[#This Row],[Prevoženo]])</f>
        <v>8.1008968609865484</v>
      </c>
      <c r="H18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35">
      <c r="B19" s="1">
        <v>45198</v>
      </c>
      <c r="C19" s="3">
        <v>38.51</v>
      </c>
      <c r="D19">
        <f>_xlfn.XLOOKUP(realna_poraba_cupra__2[[#This Row],[Datum]],Table3[Veljavnost],Table3[Bencin],0,-1)*realna_poraba_cupra__2[[#This Row],[Litri]]</f>
        <v>61.153880000000001</v>
      </c>
      <c r="E19" s="2">
        <v>50991</v>
      </c>
      <c r="F19" s="2">
        <f t="shared" si="0"/>
        <v>533</v>
      </c>
      <c r="G19">
        <f>100*(realna_poraba_cupra__2[[#This Row],[Litri]]/realna_poraba_cupra__2[[#This Row],[Prevoženo]])</f>
        <v>7.2251407129455911</v>
      </c>
      <c r="H19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35">
      <c r="B20" s="1">
        <v>45205</v>
      </c>
      <c r="C20" s="3">
        <v>38.840000000000003</v>
      </c>
      <c r="D20">
        <f>_xlfn.XLOOKUP(realna_poraba_cupra__2[[#This Row],[Datum]],Table3[Veljavnost],Table3[Bencin],0,-1)*realna_poraba_cupra__2[[#This Row],[Litri]]</f>
        <v>61.677920000000007</v>
      </c>
      <c r="E20" s="2">
        <v>51593</v>
      </c>
      <c r="F20" s="2">
        <f t="shared" si="0"/>
        <v>602</v>
      </c>
      <c r="G20">
        <f>100*(realna_poraba_cupra__2[[#This Row],[Litri]]/realna_poraba_cupra__2[[#This Row],[Prevoženo]])</f>
        <v>6.4518272425249172</v>
      </c>
      <c r="H20">
        <f>realna_poraba_cupra__2[[#This Row],[Poraba]]</f>
        <v>6.4518272425249172</v>
      </c>
      <c r="J20" s="1">
        <v>45167</v>
      </c>
      <c r="K20" s="4">
        <v>1.544</v>
      </c>
    </row>
    <row r="21" spans="2:11" x14ac:dyDescent="0.35">
      <c r="B21" s="1">
        <v>45213</v>
      </c>
      <c r="C21" s="3">
        <v>41.73</v>
      </c>
      <c r="D21">
        <f>_xlfn.XLOOKUP(realna_poraba_cupra__2[[#This Row],[Datum]],Table3[Veljavnost],Table3[Bencin],0,-1)*realna_poraba_cupra__2[[#This Row],[Litri]]</f>
        <v>64.097279999999998</v>
      </c>
      <c r="E21" s="2">
        <v>52176</v>
      </c>
      <c r="F21" s="2">
        <f t="shared" si="0"/>
        <v>583</v>
      </c>
      <c r="G21">
        <f>100*(realna_poraba_cupra__2[[#This Row],[Litri]]/realna_poraba_cupra__2[[#This Row],[Prevoženo]])</f>
        <v>7.1578044596912509</v>
      </c>
      <c r="H21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35">
      <c r="J22" s="1">
        <v>45195</v>
      </c>
      <c r="K22" s="4">
        <v>1.5880000000000001</v>
      </c>
    </row>
    <row r="23" spans="2:11" x14ac:dyDescent="0.35">
      <c r="J23" s="1">
        <v>45209</v>
      </c>
      <c r="K23" s="4">
        <v>1.536</v>
      </c>
    </row>
    <row r="24" spans="2:11" x14ac:dyDescent="0.35">
      <c r="J24" s="1">
        <v>45223</v>
      </c>
      <c r="K24" s="4">
        <v>1.536</v>
      </c>
    </row>
    <row r="25" spans="2:11" x14ac:dyDescent="0.35">
      <c r="J25" s="1">
        <v>45237</v>
      </c>
      <c r="K25" s="4">
        <v>1.534</v>
      </c>
    </row>
    <row r="28" spans="2:11" x14ac:dyDescent="0.35">
      <c r="C28" s="5" t="s">
        <v>18</v>
      </c>
    </row>
    <row r="29" spans="2:11" x14ac:dyDescent="0.35">
      <c r="B29" s="5" t="s">
        <v>20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10</v>
      </c>
    </row>
    <row r="30" spans="2:11" x14ac:dyDescent="0.35">
      <c r="B30" s="6" t="s">
        <v>17</v>
      </c>
      <c r="C30" s="7">
        <v>1789</v>
      </c>
      <c r="D30" s="7">
        <v>1850</v>
      </c>
      <c r="E30" s="7">
        <v>2321</v>
      </c>
      <c r="F30" s="7">
        <v>1138</v>
      </c>
      <c r="G30" s="7">
        <v>1986</v>
      </c>
      <c r="H30" s="7">
        <v>1185</v>
      </c>
      <c r="I30" s="7">
        <v>10269</v>
      </c>
    </row>
    <row r="31" spans="2:11" x14ac:dyDescent="0.35">
      <c r="B31" s="6" t="s">
        <v>19</v>
      </c>
      <c r="C31" s="7">
        <v>6.643286586493633</v>
      </c>
      <c r="D31" s="7">
        <v>6.7096452146904353</v>
      </c>
      <c r="E31" s="7">
        <v>6.9488756233742244</v>
      </c>
      <c r="F31" s="7">
        <v>6.909147776539081</v>
      </c>
      <c r="G31" s="7">
        <v>7.5451560100243888</v>
      </c>
      <c r="H31" s="7">
        <v>6.8048158511080841</v>
      </c>
      <c r="I31" s="7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{7483D324-4051-4DD0-B4D1-AB64799B5ABE}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83D324-4051-4DD0-B4D1-AB64799B5AB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Rosc, Izabela</cp:lastModifiedBy>
  <dcterms:created xsi:type="dcterms:W3CDTF">2007-10-01T06:54:22Z</dcterms:created>
  <dcterms:modified xsi:type="dcterms:W3CDTF">2025-12-08T17:12:29Z</dcterms:modified>
</cp:coreProperties>
</file>